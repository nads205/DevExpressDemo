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35" yWindow="-105" windowWidth="18195" windowHeight="11145"/>
  </bookViews>
  <sheets>
    <sheet name="Sheet1" sheetId="2" r:id="rId1"/>
    <sheet name="Prep" sheetId="1" r:id="rId2"/>
    <sheet name="Lookup" sheetId="3" r:id="rId3"/>
  </sheets>
  <functionGroups builtInGroupCount="17"/>
  <definedNames>
    <definedName name="LookupTableQatarNameValues">Lookup!$A:$B</definedName>
    <definedName name="owssvr" localSheetId="1" hidden="1">Prep!$A$1:$C$27</definedName>
  </definedNames>
  <calcPr calcId="145621"/>
</workbook>
</file>

<file path=xl/calcChain.xml><?xml version="1.0" encoding="utf-8"?>
<calcChain xmlns="http://schemas.openxmlformats.org/spreadsheetml/2006/main">
  <c r="J3" i="2" l="1"/>
  <c r="C3" i="2" l="1"/>
  <c r="R3" i="2"/>
  <c r="S3" i="2"/>
  <c r="O3" i="2" l="1"/>
  <c r="E3" i="2"/>
  <c r="D3" i="2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F22" i="1" s="1"/>
  <c r="H23" i="1"/>
  <c r="H24" i="1"/>
  <c r="F24" i="1" s="1"/>
  <c r="H25" i="1"/>
  <c r="H26" i="1"/>
  <c r="F26" i="1" s="1"/>
  <c r="H27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3" i="1"/>
  <c r="F25" i="1"/>
  <c r="F27" i="1"/>
  <c r="Q3" i="2"/>
  <c r="G2" i="1" l="1"/>
  <c r="E2" i="2" s="1"/>
  <c r="E2" i="1" l="1"/>
  <c r="C2" i="2" s="1"/>
  <c r="H2" i="1" l="1"/>
  <c r="F2" i="1" s="1"/>
  <c r="O2" i="2" l="1"/>
  <c r="D2" i="2"/>
  <c r="S2" i="2"/>
  <c r="Q2" i="2"/>
  <c r="R2" i="2"/>
</calcChain>
</file>

<file path=xl/connections.xml><?xml version="1.0" encoding="utf-8"?>
<connections xmlns="http://schemas.openxmlformats.org/spreadsheetml/2006/main">
  <connection id="1" odcFile="C:\Users\lhamilto\AppData\Local\Microsoft\Windows\Temporary Internet Files\Content.IE5\PB1BW6ZY\owssvr.iqy" keepAlive="1" name="owssvr" type="5" refreshedVersion="4" minRefreshableVersion="3" saveData="1">
    <dbPr connection="Provider=Microsoft.Office.List.OLEDB.2.0;Data Source=&quot;&quot;;ApplicationName=Excel;Version=12.0.0.0" command="&lt;LIST&gt;&lt;VIEWGUID&gt;{8482F4CA-9A72-4A6F-B19E-C3D9746518D6}&lt;/VIEWGUID&gt;&lt;LISTNAME&gt;{2F3DDF06-9A71-4021-9615-B620585E4F4A}&lt;/LISTNAME&gt;&lt;LISTWEB&gt;http://qatar.sharepoint.ad.bl.uk/_vti_bin&lt;/LISTWEB&gt;&lt;LISTSUBWEB&gt;&lt;/LISTSUBWEB&gt;&lt;ROOTFOLDER&gt;/Lists/Item tracking&lt;/ROOTFOLDER&gt;&lt;/LIST&gt;" commandType="5"/>
  </connection>
</connections>
</file>

<file path=xl/sharedStrings.xml><?xml version="1.0" encoding="utf-8"?>
<sst xmlns="http://schemas.openxmlformats.org/spreadsheetml/2006/main" count="158" uniqueCount="100">
  <si>
    <t>Shelfmark</t>
  </si>
  <si>
    <t>JP2 location</t>
  </si>
  <si>
    <t>Path</t>
  </si>
  <si>
    <t>Qatar Data 2</t>
  </si>
  <si>
    <t>Qatar Data 3</t>
  </si>
  <si>
    <t>Qatar Data 4</t>
  </si>
  <si>
    <t>Name</t>
  </si>
  <si>
    <t>Source Path</t>
  </si>
  <si>
    <t>pSIP Path</t>
  </si>
  <si>
    <t>QatarGather Select (Y/N)</t>
  </si>
  <si>
    <t>QatarGather Time</t>
  </si>
  <si>
    <t>QatarGather Results</t>
  </si>
  <si>
    <t>QatarMets Select (Y/N)</t>
  </si>
  <si>
    <t>QatarMets Time</t>
  </si>
  <si>
    <t>QatarMets Results</t>
  </si>
  <si>
    <t>QatarPackage Select (Y/N)</t>
  </si>
  <si>
    <t xml:space="preserve">QatarPackage Time </t>
  </si>
  <si>
    <t>QatarPackage Results</t>
  </si>
  <si>
    <t>IamsUrl</t>
  </si>
  <si>
    <t>AlephUrl</t>
  </si>
  <si>
    <t>\\P8L-NAS1\Qatar-Data\DigifloPackaging\</t>
  </si>
  <si>
    <t>\\p8l-nas1\Qatar-Data II\DigifloPackaging\</t>
  </si>
  <si>
    <t>\\p8l-nas3\Qatar-Data III\DigifloPackaging\</t>
  </si>
  <si>
    <t>\\p8l-nas3\Qatar-Data IV\DigifloPackaging\</t>
  </si>
  <si>
    <t>Qatar-pSIP-01</t>
  </si>
  <si>
    <t>\\p8l-nas3\Qatar-pSIP-01\pSIP\</t>
  </si>
  <si>
    <t>Qatar-pSIP-02</t>
  </si>
  <si>
    <t>\\p8l-nas3\Qatar-pSIP-02\pSIP\</t>
  </si>
  <si>
    <t>Qatar-Prod-qSIP</t>
  </si>
  <si>
    <t>\\p8l-nas3\Qatar-Prod-qSIP\qSIPs\Prod\Path\</t>
  </si>
  <si>
    <t xml:space="preserve">WebService </t>
  </si>
  <si>
    <t>http://v8l-iams1/IAMSRestAPILive/api/archive/GetRecordByreference?reference=</t>
  </si>
  <si>
    <t>Corrected Shelf Mark</t>
  </si>
  <si>
    <t>Child Exclusion</t>
  </si>
  <si>
    <t>IOR/R/15/1/36</t>
  </si>
  <si>
    <t>IOR_R_15_1_36</t>
  </si>
  <si>
    <t>pSIPLocation</t>
  </si>
  <si>
    <t>N</t>
  </si>
  <si>
    <t>\\p8l-nas3\Qatar-Data III\1.DigifloPackaging2\</t>
  </si>
  <si>
    <t>Qatar Data III</t>
  </si>
  <si>
    <t>Value</t>
  </si>
  <si>
    <t>Key</t>
  </si>
  <si>
    <t>Path2</t>
  </si>
  <si>
    <t>Qatar Data</t>
  </si>
  <si>
    <t>Qatar-pSIP-03</t>
  </si>
  <si>
    <t>Qatar Data V</t>
  </si>
  <si>
    <t>\\p12l-NAS5\Qatar-Data V\1.DigifloPackaging2\</t>
  </si>
  <si>
    <t>\\p12l-nas5\Qatar-pSIP-03\pSIP\</t>
  </si>
  <si>
    <t>IOR/R/15/2/565</t>
  </si>
  <si>
    <t>IOR/R/15/2/641</t>
  </si>
  <si>
    <t>IOR/R/15/2/837</t>
  </si>
  <si>
    <t>IOR/R/15/2/386</t>
  </si>
  <si>
    <t>IOR/R/15/2/375</t>
  </si>
  <si>
    <t>IOR/R/15/2/613</t>
  </si>
  <si>
    <t>IOR/R/15/2/370</t>
  </si>
  <si>
    <t>IOR/R/15/2/640</t>
  </si>
  <si>
    <t>IOR/R/15/2/542</t>
  </si>
  <si>
    <t>IOR/R/15/2/863</t>
  </si>
  <si>
    <t>IOR/R/15/2/367</t>
  </si>
  <si>
    <t>IOR/R/15/2/474</t>
  </si>
  <si>
    <t>IOR/R/15/1/702</t>
  </si>
  <si>
    <t>IOR/R/15/2/530</t>
  </si>
  <si>
    <t>IOR/R/15/2/526</t>
  </si>
  <si>
    <t>IOR/R/15/2/639</t>
  </si>
  <si>
    <t>IOR/R/15/2/847</t>
  </si>
  <si>
    <t>IOR/R/15/2/464</t>
  </si>
  <si>
    <t>IOR/R/15/2/833</t>
  </si>
  <si>
    <t>IOR/R/15/2/488</t>
  </si>
  <si>
    <t>IOR/R/15/2/463</t>
  </si>
  <si>
    <t>IOR/R/15/2/540</t>
  </si>
  <si>
    <t>IOR/R/15/2/849</t>
  </si>
  <si>
    <t>IOR/R/15/2/366</t>
  </si>
  <si>
    <t>IOR/R/15/2/572</t>
  </si>
  <si>
    <t>IOR_R_15_2_565</t>
  </si>
  <si>
    <t>IOR_R_15_2_641</t>
  </si>
  <si>
    <t>IOR_R_15_2_837</t>
  </si>
  <si>
    <t>IOR_R_15_2_386</t>
  </si>
  <si>
    <t>IOR_R_15_2_375</t>
  </si>
  <si>
    <t>IOR_R_15_2_613</t>
  </si>
  <si>
    <t>IOR_R_15_2_370</t>
  </si>
  <si>
    <t>IOR_R_15_2_640</t>
  </si>
  <si>
    <t>IOR_R_15_2_542</t>
  </si>
  <si>
    <t>IOR_R_15_2_863</t>
  </si>
  <si>
    <t>IOR_R_15_2_367</t>
  </si>
  <si>
    <t>IOR_R_15_2_474</t>
  </si>
  <si>
    <t>IOR_R_15_1_702</t>
  </si>
  <si>
    <t>IOR_R_15_2_530</t>
  </si>
  <si>
    <t>IOR_R_15_2_526</t>
  </si>
  <si>
    <t>IOR_R_15_2_639</t>
  </si>
  <si>
    <t>IOR_R_15_2_847</t>
  </si>
  <si>
    <t>IOR_R_15_2_464</t>
  </si>
  <si>
    <t>IOR_R_15_2_833</t>
  </si>
  <si>
    <t>IOR_R_15_2_488</t>
  </si>
  <si>
    <t>IOR_R_15_2_463</t>
  </si>
  <si>
    <t>IOR_R_15_2_540</t>
  </si>
  <si>
    <t>IOR_R_15_2_849</t>
  </si>
  <si>
    <t>IOR_R_15_2_366</t>
  </si>
  <si>
    <t>IOR_R_15_2_572</t>
  </si>
  <si>
    <t>Y</t>
  </si>
  <si>
    <t>Success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</si>
</sst>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33">
    <xf numFmtId="0" fontId="0" fillId="0" borderId="0" xfId="0"/>
    <xf numFmtId="0" fontId="18" fillId="34" borderId="0" xfId="0" applyFont="1" applyFill="1"/>
    <xf numFmtId="0" fontId="19" fillId="0" borderId="0" xfId="42"/>
    <xf numFmtId="0" fontId="16" fillId="33" borderId="0" xfId="0" applyNumberFormat="1" applyFont="1" applyFill="1" applyAlignment="1">
      <alignment horizontal="center" vertical="top" wrapText="1"/>
    </xf>
    <xf numFmtId="0" fontId="16" fillId="33" borderId="0" xfId="0" applyNumberFormat="1" applyFont="1" applyFill="1" applyAlignment="1">
      <alignment horizontal="center" vertical="top"/>
    </xf>
    <xf numFmtId="0" fontId="16" fillId="0" borderId="0" xfId="0" applyFont="1"/>
    <xf numFmtId="0" fontId="20" fillId="33" borderId="0" xfId="0" applyNumberFormat="1" applyFont="1" applyFill="1" applyAlignment="1">
      <alignment horizontal="center" vertical="top" wrapText="1"/>
    </xf>
    <xf numFmtId="0" fontId="21" fillId="0" borderId="0" xfId="0" applyFont="1"/>
    <xf numFmtId="0" fontId="16" fillId="0" borderId="0" xfId="0" applyFont="1" applyAlignment="1">
      <alignment horizontal="center"/>
    </xf>
    <xf numFmtId="22" fontId="16" fillId="33" borderId="0" xfId="0" applyNumberFormat="1" applyFont="1" applyFill="1" applyAlignment="1">
      <alignment horizontal="center" vertical="top" wrapText="1"/>
    </xf>
    <xf numFmtId="22" fontId="16" fillId="0" borderId="0" xfId="0" applyNumberFormat="1" applyFont="1" applyAlignment="1">
      <alignment horizontal="center"/>
    </xf>
    <xf numFmtId="0" fontId="20" fillId="33" borderId="0" xfId="0" applyNumberFormat="1" applyFont="1" applyFill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0" fillId="0" borderId="0" xfId="0"/>
    <xf numFmtId="49" fontId="0" fillId="35" borderId="10" xfId="0" applyNumberFormat="1" applyFont="1" applyFill="1" applyBorder="1" applyAlignment="1"/>
    <xf numFmtId="49" fontId="0" fillId="35" borderId="11" xfId="0" applyNumberFormat="1" applyFont="1" applyFill="1" applyBorder="1"/>
    <xf numFmtId="0" fontId="19" fillId="0" borderId="0" xfId="42" applyFont="1"/>
    <xf numFmtId="49" fontId="16" fillId="0" borderId="0" xfId="0" applyNumberFormat="1" applyFont="1"/>
    <xf numFmtId="0" fontId="16" fillId="36" borderId="0" xfId="0" applyFont="1" applyFill="1" applyAlignment="1">
      <alignment horizontal="center"/>
    </xf>
    <xf numFmtId="22" fontId="16" fillId="36" borderId="0" xfId="0" applyNumberFormat="1" applyFont="1" applyFill="1" applyAlignment="1">
      <alignment horizontal="center"/>
    </xf>
    <xf numFmtId="0" fontId="0" fillId="0" borderId="0" xfId="0" applyFont="1"/>
    <xf numFmtId="49" fontId="0" fillId="35" borderId="0" xfId="0" applyNumberFormat="1" applyFont="1" applyFill="1" applyAlignment="1"/>
    <xf numFmtId="49" fontId="0" fillId="35" borderId="0" xfId="0" applyNumberFormat="1" applyFont="1" applyFill="1"/>
    <xf numFmtId="49" fontId="0" fillId="0" borderId="0" xfId="0" applyNumberFormat="1" applyFont="1" applyFill="1"/>
    <xf numFmtId="0" fontId="0" fillId="0" borderId="0" xfId="0" applyNumberFormat="1" applyFont="1"/>
    <xf numFmtId="0" fontId="0" fillId="0" borderId="0" xfId="0" applyNumberFormat="1" applyFont="1" applyBorder="1"/>
    <xf numFmtId="0" fontId="16" fillId="33" borderId="0" xfId="0" applyFont="1" applyFill="1" applyAlignment="1">
      <alignment wrapText="1"/>
    </xf>
    <xf numFmtId="0" fontId="20" fillId="33" borderId="0" xfId="0" applyFont="1" applyFill="1" applyAlignment="1">
      <alignment wrapText="1"/>
    </xf>
    <xf numFmtId="49" fontId="22" fillId="0" borderId="10" xfId="0" applyNumberFormat="1" applyFont="1" applyBorder="1" applyAlignment="1"/>
    <xf numFmtId="49" fontId="22" fillId="0" borderId="0" xfId="0" applyNumberFormat="1" applyFont="1" applyAlignment="1"/>
    <xf numFmtId="49" fontId="22" fillId="0" borderId="12" xfId="0" applyNumberFormat="1" applyFont="1" applyBorder="1" applyAlignment="1"/>
    <xf numFmtId="49" fontId="22" fillId="0" borderId="0" xfId="0" applyNumberFormat="1" applyFont="1" applyBorder="1" applyAlignment="1"/>
    <xf numFmtId="49" fontId="22" fillId="37" borderId="10" xfId="0" applyNumberFormat="1" applyFont="1" applyFill="1" applyBorder="1" applyAlignme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0"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30" formatCode="@"/>
      <alignment horizontal="general" vertical="bottom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619125</xdr:colOff>
      <xdr:row>2</xdr:row>
      <xdr:rowOff>19050</xdr:rowOff>
    </xdr:from>
    <xdr:to>
      <xdr:col>3</xdr:col>
      <xdr:colOff>2914650</xdr:colOff>
      <xdr:row>11</xdr:row>
      <xdr:rowOff>104775</xdr:rowOff>
    </xdr:to>
    <xdr:sp macro="" textlink="">
      <xdr:nvSpPr>
        <xdr:cNvPr id="2" name="TextBox 1"/>
        <xdr:cNvSpPr txBox="1"/>
      </xdr:nvSpPr>
      <xdr:spPr>
        <a:xfrm>
          <a:off x="6743700" y="409575"/>
          <a:ext cx="3324225" cy="1419225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NOTE:</a:t>
          </a:r>
        </a:p>
        <a:p>
          <a:endParaRPr lang="en-GB" sz="1100"/>
        </a:p>
        <a:p>
          <a:r>
            <a:rPr lang="en-GB" sz="1100"/>
            <a:t>The table on the left must be sorted by</a:t>
          </a:r>
          <a:r>
            <a:rPr lang="en-GB" sz="1100" baseline="0"/>
            <a:t> ascending order</a:t>
          </a:r>
          <a:endParaRPr lang="en-GB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owssvr" backgroundRefresh="0" connectionId="1" autoFormatId="16" applyNumberFormats="0" applyBorderFormats="0" applyFontFormats="0" applyPatternFormats="0" applyAlignmentFormats="0" applyWidthHeightFormats="0">
  <queryTableRefresh nextId="16" unboundColumnsRight="5">
    <queryTableFields count="8">
      <queryTableField id="1" name="Shelfmark" tableColumnId="1"/>
      <queryTableField id="13" dataBound="0" tableColumnId="13"/>
      <queryTableField id="5" name="JP2 location" tableColumnId="7"/>
      <queryTableField id="14" dataBound="0" tableColumnId="2"/>
      <queryTableField id="12" dataBound="0" tableColumnId="10"/>
      <queryTableField id="11" dataBound="0" tableColumnId="11"/>
      <queryTableField id="10" dataBound="0" tableColumnId="12"/>
      <queryTableField id="15" dataBound="0" tableColumnId="3"/>
    </queryTableFields>
    <queryTableDeletedFields count="7">
      <deletedField name="For DLS ingest?"/>
      <deletedField name="SIP Generation Status"/>
      <deletedField name="General notes"/>
      <deletedField name="Sequence Arrangement"/>
      <deletedField name="Typescript to be OCR'd?"/>
      <deletedField name="Item Type"/>
      <deletedField name="Path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owssvr" displayName="Table_owssvr" ref="A1:H27" tableType="queryTable" totalsRowShown="0" headerRowDxfId="9" dataDxfId="8">
  <autoFilter ref="A1:H27"/>
  <tableColumns count="8">
    <tableColumn id="1" uniqueName="Shelfmark" name="Shelfmark" queryTableFieldId="1" dataDxfId="7"/>
    <tableColumn id="13" uniqueName="13" name="Corrected Shelf Mark" queryTableFieldId="13" dataDxfId="6"/>
    <tableColumn id="7" uniqueName="Images_x005f_x003f_" name="JP2 location" queryTableFieldId="5" dataDxfId="5"/>
    <tableColumn id="2" uniqueName="2" name="pSIPLocation" queryTableFieldId="14" dataDxfId="4"/>
    <tableColumn id="10" uniqueName="10" name="Path" queryTableFieldId="12" dataDxfId="3">
      <calculatedColumnFormula>VLOOKUP("Qatar-Prod-qSIP",LookupTableQatarNameValues,2)&amp;Table_owssvr[[#This Row],[Corrected Shelf Mark]]</calculatedColumnFormula>
    </tableColumn>
    <tableColumn id="11" uniqueName="11" name="Source Path" queryTableFieldId="11" dataDxfId="2">
      <calculatedColumnFormula>Table_owssvr[[#This Row],[Path2]]&amp;Table_owssvr[[#This Row],[Corrected Shelf Mark]]</calculatedColumnFormula>
    </tableColumn>
    <tableColumn id="12" uniqueName="12" name="pSIP Path" queryTableFieldId="10" dataDxfId="1">
      <calculatedColumnFormula>VLOOKUP(Table_owssvr[[#This Row],[pSIPLocation]],LookupTableQatarNameValues,2)&amp;""&amp;B2&amp;"_SIPFolder"</calculatedColumnFormula>
    </tableColumn>
    <tableColumn id="3" uniqueName="3" name="Path2" queryTableFieldId="15" dataDxfId="0">
      <calculatedColumnFormula>VLOOKUP(Table_owssvr[[#This Row],[JP2 location]],LookupTableQatarNameValues,2)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file:///\\p8l-nas3\Qatar-Data%20III\1.DigifloPackaging2\" TargetMode="External"/><Relationship Id="rId7" Type="http://schemas.openxmlformats.org/officeDocument/2006/relationships/hyperlink" Target="file:///\\p8l-nas3\Qatar-pSIP-02\pSIP\" TargetMode="External"/><Relationship Id="rId2" Type="http://schemas.openxmlformats.org/officeDocument/2006/relationships/hyperlink" Target="file:///\\p8l-nas3\Qatar-Data%20III\DigifloPackaging\" TargetMode="External"/><Relationship Id="rId1" Type="http://schemas.openxmlformats.org/officeDocument/2006/relationships/hyperlink" Target="file:///\\P8L-NAS1\Qatar-Data\DigifloPackaging\" TargetMode="External"/><Relationship Id="rId6" Type="http://schemas.openxmlformats.org/officeDocument/2006/relationships/hyperlink" Target="file:///\\p12l-NAS5\Qatar-Data%20V\1.DigifloPackaging2\" TargetMode="External"/><Relationship Id="rId5" Type="http://schemas.openxmlformats.org/officeDocument/2006/relationships/hyperlink" Target="file:///\\p12l-nas5\Qatar-pSIP-03\pSIP\" TargetMode="External"/><Relationship Id="rId4" Type="http://schemas.openxmlformats.org/officeDocument/2006/relationships/hyperlink" Target="file:///\\p8l-nas3\Qatar-pSIP-01\pSIP\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3"/>
  <sheetViews>
    <sheetView tabSelected="1"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20" style="7" customWidth="1"/>
    <col min="2" max="2" width="18.42578125" style="12" customWidth="1"/>
    <col min="3" max="3" width="62.5703125" style="5" customWidth="1"/>
    <col min="4" max="4" width="61.42578125" style="5" customWidth="1"/>
    <col min="5" max="5" width="81.7109375" style="5" customWidth="1"/>
    <col min="6" max="6" width="18.7109375" style="8" customWidth="1"/>
    <col min="7" max="7" width="18.42578125" style="10" customWidth="1"/>
    <col min="8" max="8" width="17" style="8" customWidth="1"/>
    <col min="9" max="9" width="17.85546875" style="8" customWidth="1"/>
    <col min="10" max="10" width="17.140625" style="10" customWidth="1"/>
    <col min="11" max="11" width="17.7109375" style="8" customWidth="1"/>
    <col min="12" max="12" width="16.85546875" style="8" customWidth="1"/>
    <col min="13" max="13" width="15.85546875" style="10" customWidth="1"/>
    <col min="14" max="14" width="16.7109375" style="8" customWidth="1"/>
    <col min="15" max="15" width="74.7109375" style="5" customWidth="1"/>
    <col min="16" max="16" width="13.5703125" style="5" customWidth="1"/>
    <col min="17" max="17" width="4.28515625" style="5" bestFit="1" customWidth="1"/>
    <col min="18" max="19" width="2.140625" style="5" bestFit="1" customWidth="1"/>
    <col min="20" max="16384" width="9.140625" style="20"/>
  </cols>
  <sheetData>
    <row r="1" spans="1:19" ht="30" x14ac:dyDescent="0.25">
      <c r="A1" s="6" t="s">
        <v>6</v>
      </c>
      <c r="B1" s="11" t="s">
        <v>33</v>
      </c>
      <c r="C1" s="3" t="s">
        <v>2</v>
      </c>
      <c r="D1" s="6" t="s">
        <v>7</v>
      </c>
      <c r="E1" s="3" t="s">
        <v>8</v>
      </c>
      <c r="F1" s="3" t="s">
        <v>9</v>
      </c>
      <c r="G1" s="9" t="s">
        <v>10</v>
      </c>
      <c r="H1" s="3" t="s">
        <v>11</v>
      </c>
      <c r="I1" s="3" t="s">
        <v>12</v>
      </c>
      <c r="J1" s="9" t="s">
        <v>13</v>
      </c>
      <c r="K1" s="3" t="s">
        <v>14</v>
      </c>
      <c r="L1" s="3" t="s">
        <v>15</v>
      </c>
      <c r="M1" s="9" t="s">
        <v>16</v>
      </c>
      <c r="N1" s="3" t="s">
        <v>17</v>
      </c>
      <c r="O1" s="3" t="s">
        <v>18</v>
      </c>
      <c r="P1" s="4" t="s">
        <v>19</v>
      </c>
      <c r="Q1" s="3"/>
      <c r="R1" s="6"/>
      <c r="S1" s="3"/>
    </row>
    <row r="2" spans="1:19" x14ac:dyDescent="0.25">
      <c r="A2" s="14" t="s">
        <v>34</v>
      </c>
      <c r="B2" s="15"/>
      <c r="C2" s="17" t="str">
        <f>Prep!E2</f>
        <v>\\p8l-nas3\Qatar-Prod-qSIP\qSIPs\Prod\Path\IOR_R_15_1_36</v>
      </c>
      <c r="D2" s="5" t="str">
        <f>Prep!F2</f>
        <v>\\p8l-nas3\Qatar-Data III\DigifloPackaging\IOR_R_15_1_36</v>
      </c>
      <c r="E2" s="17" t="str">
        <f>Prep!G2</f>
        <v>\\p8l-nas3\Qatar-pSIP-01\pSIP\IOR_R_15_1_36_SIPFolder</v>
      </c>
      <c r="F2" s="18" t="s">
        <v>37</v>
      </c>
      <c r="G2" s="19"/>
      <c r="H2" s="18"/>
      <c r="I2" s="8" t="s">
        <v>37</v>
      </c>
      <c r="O2" s="5" t="str">
        <f>Lookup!$B$12</f>
        <v>http://v8l-iams1/IAMSRestAPILive/api/archive/GetRecordByreference?reference=</v>
      </c>
      <c r="Q2" s="5">
        <f t="shared" ref="Q2:Q3" si="0">TestFolderExistence(C2)</f>
        <v>0</v>
      </c>
      <c r="R2" s="5">
        <f t="shared" ref="R2" si="1">TestFolderExistence(D2)</f>
        <v>0</v>
      </c>
      <c r="S2" s="5">
        <f t="shared" ref="S2" si="2">TestFolderExistence(E2)</f>
        <v>0</v>
      </c>
    </row>
    <row r="3" spans="1:19" x14ac:dyDescent="0.25">
      <c r="A3" s="32" t="s">
        <v>49</v>
      </c>
      <c r="C3" s="17" t="str">
        <f>Prep!E4</f>
        <v>\\p8l-nas3\Qatar-Prod-qSIP\qSIPs\Prod\Path\IOR_R_15_2_641</v>
      </c>
      <c r="D3" s="5" t="str">
        <f>Prep!F4</f>
        <v>\\p8l-nas3\Qatar-Data III\1.DigifloPackaging2\IOR_R_15_2_641</v>
      </c>
      <c r="E3" s="17" t="str">
        <f>Prep!G4</f>
        <v>\\p8l-nas3\Qatar-pSIP-02\pSIP\IOR_R_15_2_641_SIPFolder</v>
      </c>
      <c r="I3" s="8" t="s">
        <v>98</v>
      </c>
      <c r="J3" s="10">
        <f>DATE(2015,7,28)+TIME(15,33,27)</f>
        <v>42213.648229166669</v>
      </c>
      <c r="K3" s="8" t="s">
        <v>99</v>
      </c>
      <c r="O3" s="5" t="str">
        <f>Lookup!$B$12</f>
        <v>http://v8l-iams1/IAMSRestAPILive/api/archive/GetRecordByreference?reference=</v>
      </c>
      <c r="Q3" s="5">
        <f t="shared" si="0"/>
        <v>0</v>
      </c>
      <c r="R3" s="5">
        <f t="shared" ref="R3" si="3">TestFolderExistence(D3)</f>
        <v>0</v>
      </c>
      <c r="S3" s="5">
        <f t="shared" ref="S3" si="4">TestFolderExistence(E3)</f>
        <v>0</v>
      </c>
    </row>
  </sheetData>
  <conditionalFormatting sqref="A1:B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1048576">
    <cfRule type="iconSet" priority="1">
      <iconSet iconSet="3Symbol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2C38D1D9-BD06-4A9F-8CF7-A7E0844457ED}">
            <x14:iconSet iconSet="3Symbols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TrafficLights1" iconId="0"/>
            </x14:iconSet>
          </x14:cfRule>
          <xm:sqref>Q1:Q1048576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7"/>
  <sheetViews>
    <sheetView workbookViewId="0">
      <pane xSplit="1" topLeftCell="B1" activePane="topRight" state="frozen"/>
      <selection activeCell="A102" sqref="A102"/>
      <selection pane="topRight" activeCell="A3" sqref="A3"/>
    </sheetView>
  </sheetViews>
  <sheetFormatPr defaultRowHeight="15" x14ac:dyDescent="0.25"/>
  <cols>
    <col min="1" max="1" width="21.85546875" style="20" customWidth="1"/>
    <col min="2" max="2" width="22.140625" style="20" customWidth="1"/>
    <col min="3" max="3" width="13.7109375" style="20" bestFit="1" customWidth="1"/>
    <col min="4" max="4" width="13.7109375" style="20" customWidth="1"/>
    <col min="5" max="5" width="64.28515625" style="20" customWidth="1"/>
    <col min="6" max="6" width="60.28515625" style="20" customWidth="1"/>
    <col min="7" max="7" width="70.140625" style="20" customWidth="1"/>
    <col min="8" max="8" width="45.140625" style="20" customWidth="1"/>
    <col min="9" max="9" width="19.85546875" style="20" customWidth="1"/>
    <col min="10" max="10" width="82.7109375" style="20" customWidth="1"/>
    <col min="11" max="16384" width="9.140625" style="20"/>
  </cols>
  <sheetData>
    <row r="1" spans="1:8" x14ac:dyDescent="0.25">
      <c r="A1" s="20" t="s">
        <v>0</v>
      </c>
      <c r="B1" s="20" t="s">
        <v>32</v>
      </c>
      <c r="C1" s="20" t="s">
        <v>1</v>
      </c>
      <c r="D1" s="20" t="s">
        <v>36</v>
      </c>
      <c r="E1" s="26" t="s">
        <v>2</v>
      </c>
      <c r="F1" s="27" t="s">
        <v>7</v>
      </c>
      <c r="G1" s="26" t="s">
        <v>8</v>
      </c>
      <c r="H1" s="20" t="s">
        <v>42</v>
      </c>
    </row>
    <row r="2" spans="1:8" x14ac:dyDescent="0.25">
      <c r="A2" s="21" t="s">
        <v>34</v>
      </c>
      <c r="B2" s="22" t="s">
        <v>35</v>
      </c>
      <c r="C2" s="22" t="s">
        <v>4</v>
      </c>
      <c r="D2" s="22" t="s">
        <v>24</v>
      </c>
      <c r="E2" s="23" t="str">
        <f>VLOOKUP("Qatar-Prod-qSIP",LookupTableQatarNameValues,2)&amp;Table_owssvr[[#This Row],[Corrected Shelf Mark]]</f>
        <v>\\p8l-nas3\Qatar-Prod-qSIP\qSIPs\Prod\Path\IOR_R_15_1_36</v>
      </c>
      <c r="F2" s="23" t="str">
        <f>Table_owssvr[[#This Row],[Path2]]&amp;Table_owssvr[[#This Row],[Corrected Shelf Mark]]</f>
        <v>\\p8l-nas3\Qatar-Data III\DigifloPackaging\IOR_R_15_1_36</v>
      </c>
      <c r="G2" s="23" t="str">
        <f>VLOOKUP(Table_owssvr[[#This Row],[pSIPLocation]],LookupTableQatarNameValues,2)&amp;""&amp;B2&amp;"_SIPFolder"</f>
        <v>\\p8l-nas3\Qatar-pSIP-01\pSIP\IOR_R_15_1_36_SIPFolder</v>
      </c>
      <c r="H2" s="23" t="str">
        <f>VLOOKUP(Table_owssvr[[#This Row],[JP2 location]],LookupTableQatarNameValues,2)</f>
        <v>\\p8l-nas3\Qatar-Data III\DigifloPackaging\</v>
      </c>
    </row>
    <row r="3" spans="1:8" x14ac:dyDescent="0.25">
      <c r="A3" s="28" t="s">
        <v>48</v>
      </c>
      <c r="B3" s="28" t="s">
        <v>73</v>
      </c>
      <c r="C3" s="29" t="s">
        <v>45</v>
      </c>
      <c r="D3" s="29" t="s">
        <v>26</v>
      </c>
      <c r="E3" s="23" t="str">
        <f>VLOOKUP("Qatar-Prod-qSIP",LookupTableQatarNameValues,2)&amp;Table_owssvr[[#This Row],[Corrected Shelf Mark]]</f>
        <v>\\p8l-nas3\Qatar-Prod-qSIP\qSIPs\Prod\Path\IOR_R_15_2_565</v>
      </c>
      <c r="F3" s="24" t="str">
        <f>Table_owssvr[[#This Row],[Path2]]&amp;Table_owssvr[[#This Row],[Corrected Shelf Mark]]</f>
        <v>\\p12l-NAS5\Qatar-Data V\1.DigifloPackaging2\IOR_R_15_2_565</v>
      </c>
      <c r="G3" s="23" t="str">
        <f>VLOOKUP(Table_owssvr[[#This Row],[pSIPLocation]],LookupTableQatarNameValues,2)&amp;""&amp;B3&amp;"_SIPFolder"</f>
        <v>\\p8l-nas3\Qatar-pSIP-02\pSIP\IOR_R_15_2_565_SIPFolder</v>
      </c>
      <c r="H3" s="23" t="str">
        <f>VLOOKUP(Table_owssvr[[#This Row],[JP2 location]],LookupTableQatarNameValues,2)</f>
        <v>\\p12l-NAS5\Qatar-Data V\1.DigifloPackaging2\</v>
      </c>
    </row>
    <row r="4" spans="1:8" x14ac:dyDescent="0.25">
      <c r="A4" s="28" t="s">
        <v>49</v>
      </c>
      <c r="B4" s="28" t="s">
        <v>74</v>
      </c>
      <c r="C4" s="29" t="s">
        <v>39</v>
      </c>
      <c r="D4" s="29" t="s">
        <v>26</v>
      </c>
      <c r="E4" s="23" t="str">
        <f>VLOOKUP("Qatar-Prod-qSIP",LookupTableQatarNameValues,2)&amp;Table_owssvr[[#This Row],[Corrected Shelf Mark]]</f>
        <v>\\p8l-nas3\Qatar-Prod-qSIP\qSIPs\Prod\Path\IOR_R_15_2_641</v>
      </c>
      <c r="F4" s="24" t="str">
        <f>Table_owssvr[[#This Row],[Path2]]&amp;Table_owssvr[[#This Row],[Corrected Shelf Mark]]</f>
        <v>\\p8l-nas3\Qatar-Data III\1.DigifloPackaging2\IOR_R_15_2_641</v>
      </c>
      <c r="G4" s="23" t="str">
        <f>VLOOKUP(Table_owssvr[[#This Row],[pSIPLocation]],LookupTableQatarNameValues,2)&amp;""&amp;B4&amp;"_SIPFolder"</f>
        <v>\\p8l-nas3\Qatar-pSIP-02\pSIP\IOR_R_15_2_641_SIPFolder</v>
      </c>
      <c r="H4" s="23" t="str">
        <f>VLOOKUP(Table_owssvr[[#This Row],[JP2 location]],LookupTableQatarNameValues,2)</f>
        <v>\\p8l-nas3\Qatar-Data III\1.DigifloPackaging2\</v>
      </c>
    </row>
    <row r="5" spans="1:8" x14ac:dyDescent="0.25">
      <c r="A5" s="28" t="s">
        <v>50</v>
      </c>
      <c r="B5" s="28" t="s">
        <v>75</v>
      </c>
      <c r="C5" s="29" t="s">
        <v>45</v>
      </c>
      <c r="D5" s="29" t="s">
        <v>26</v>
      </c>
      <c r="E5" s="23" t="str">
        <f>VLOOKUP("Qatar-Prod-qSIP",LookupTableQatarNameValues,2)&amp;Table_owssvr[[#This Row],[Corrected Shelf Mark]]</f>
        <v>\\p8l-nas3\Qatar-Prod-qSIP\qSIPs\Prod\Path\IOR_R_15_2_837</v>
      </c>
      <c r="F5" s="24" t="str">
        <f>Table_owssvr[[#This Row],[Path2]]&amp;Table_owssvr[[#This Row],[Corrected Shelf Mark]]</f>
        <v>\\p12l-NAS5\Qatar-Data V\1.DigifloPackaging2\IOR_R_15_2_837</v>
      </c>
      <c r="G5" s="23" t="str">
        <f>VLOOKUP(Table_owssvr[[#This Row],[pSIPLocation]],LookupTableQatarNameValues,2)&amp;""&amp;B5&amp;"_SIPFolder"</f>
        <v>\\p8l-nas3\Qatar-pSIP-02\pSIP\IOR_R_15_2_837_SIPFolder</v>
      </c>
      <c r="H5" s="23" t="str">
        <f>VLOOKUP(Table_owssvr[[#This Row],[JP2 location]],LookupTableQatarNameValues,2)</f>
        <v>\\p12l-NAS5\Qatar-Data V\1.DigifloPackaging2\</v>
      </c>
    </row>
    <row r="6" spans="1:8" x14ac:dyDescent="0.25">
      <c r="A6" s="28" t="s">
        <v>51</v>
      </c>
      <c r="B6" s="28" t="s">
        <v>76</v>
      </c>
      <c r="C6" s="29" t="s">
        <v>45</v>
      </c>
      <c r="D6" s="29" t="s">
        <v>26</v>
      </c>
      <c r="E6" s="23" t="str">
        <f>VLOOKUP("Qatar-Prod-qSIP",LookupTableQatarNameValues,2)&amp;Table_owssvr[[#This Row],[Corrected Shelf Mark]]</f>
        <v>\\p8l-nas3\Qatar-Prod-qSIP\qSIPs\Prod\Path\IOR_R_15_2_386</v>
      </c>
      <c r="F6" s="24" t="str">
        <f>Table_owssvr[[#This Row],[Path2]]&amp;Table_owssvr[[#This Row],[Corrected Shelf Mark]]</f>
        <v>\\p12l-NAS5\Qatar-Data V\1.DigifloPackaging2\IOR_R_15_2_386</v>
      </c>
      <c r="G6" s="23" t="str">
        <f>VLOOKUP(Table_owssvr[[#This Row],[pSIPLocation]],LookupTableQatarNameValues,2)&amp;""&amp;B6&amp;"_SIPFolder"</f>
        <v>\\p8l-nas3\Qatar-pSIP-02\pSIP\IOR_R_15_2_386_SIPFolder</v>
      </c>
      <c r="H6" s="23" t="str">
        <f>VLOOKUP(Table_owssvr[[#This Row],[JP2 location]],LookupTableQatarNameValues,2)</f>
        <v>\\p12l-NAS5\Qatar-Data V\1.DigifloPackaging2\</v>
      </c>
    </row>
    <row r="7" spans="1:8" x14ac:dyDescent="0.25">
      <c r="A7" s="28" t="s">
        <v>52</v>
      </c>
      <c r="B7" s="28" t="s">
        <v>77</v>
      </c>
      <c r="C7" s="29" t="s">
        <v>45</v>
      </c>
      <c r="D7" s="29" t="s">
        <v>26</v>
      </c>
      <c r="E7" s="23" t="str">
        <f>VLOOKUP("Qatar-Prod-qSIP",LookupTableQatarNameValues,2)&amp;Table_owssvr[[#This Row],[Corrected Shelf Mark]]</f>
        <v>\\p8l-nas3\Qatar-Prod-qSIP\qSIPs\Prod\Path\IOR_R_15_2_375</v>
      </c>
      <c r="F7" s="24" t="str">
        <f>Table_owssvr[[#This Row],[Path2]]&amp;Table_owssvr[[#This Row],[Corrected Shelf Mark]]</f>
        <v>\\p12l-NAS5\Qatar-Data V\1.DigifloPackaging2\IOR_R_15_2_375</v>
      </c>
      <c r="G7" s="23" t="str">
        <f>VLOOKUP(Table_owssvr[[#This Row],[pSIPLocation]],LookupTableQatarNameValues,2)&amp;""&amp;B7&amp;"_SIPFolder"</f>
        <v>\\p8l-nas3\Qatar-pSIP-02\pSIP\IOR_R_15_2_375_SIPFolder</v>
      </c>
      <c r="H7" s="23" t="str">
        <f>VLOOKUP(Table_owssvr[[#This Row],[JP2 location]],LookupTableQatarNameValues,2)</f>
        <v>\\p12l-NAS5\Qatar-Data V\1.DigifloPackaging2\</v>
      </c>
    </row>
    <row r="8" spans="1:8" x14ac:dyDescent="0.25">
      <c r="A8" s="28" t="s">
        <v>53</v>
      </c>
      <c r="B8" s="28" t="s">
        <v>78</v>
      </c>
      <c r="C8" s="29" t="s">
        <v>45</v>
      </c>
      <c r="D8" s="29" t="s">
        <v>26</v>
      </c>
      <c r="E8" s="23" t="str">
        <f>VLOOKUP("Qatar-Prod-qSIP",LookupTableQatarNameValues,2)&amp;Table_owssvr[[#This Row],[Corrected Shelf Mark]]</f>
        <v>\\p8l-nas3\Qatar-Prod-qSIP\qSIPs\Prod\Path\IOR_R_15_2_613</v>
      </c>
      <c r="F8" s="24" t="str">
        <f>Table_owssvr[[#This Row],[Path2]]&amp;Table_owssvr[[#This Row],[Corrected Shelf Mark]]</f>
        <v>\\p12l-NAS5\Qatar-Data V\1.DigifloPackaging2\IOR_R_15_2_613</v>
      </c>
      <c r="G8" s="23" t="str">
        <f>VLOOKUP(Table_owssvr[[#This Row],[pSIPLocation]],LookupTableQatarNameValues,2)&amp;""&amp;B8&amp;"_SIPFolder"</f>
        <v>\\p8l-nas3\Qatar-pSIP-02\pSIP\IOR_R_15_2_613_SIPFolder</v>
      </c>
      <c r="H8" s="23" t="str">
        <f>VLOOKUP(Table_owssvr[[#This Row],[JP2 location]],LookupTableQatarNameValues,2)</f>
        <v>\\p12l-NAS5\Qatar-Data V\1.DigifloPackaging2\</v>
      </c>
    </row>
    <row r="9" spans="1:8" x14ac:dyDescent="0.25">
      <c r="A9" s="28" t="s">
        <v>54</v>
      </c>
      <c r="B9" s="28" t="s">
        <v>79</v>
      </c>
      <c r="C9" s="29" t="s">
        <v>45</v>
      </c>
      <c r="D9" s="29" t="s">
        <v>26</v>
      </c>
      <c r="E9" s="23" t="str">
        <f>VLOOKUP("Qatar-Prod-qSIP",LookupTableQatarNameValues,2)&amp;Table_owssvr[[#This Row],[Corrected Shelf Mark]]</f>
        <v>\\p8l-nas3\Qatar-Prod-qSIP\qSIPs\Prod\Path\IOR_R_15_2_370</v>
      </c>
      <c r="F9" s="24" t="str">
        <f>Table_owssvr[[#This Row],[Path2]]&amp;Table_owssvr[[#This Row],[Corrected Shelf Mark]]</f>
        <v>\\p12l-NAS5\Qatar-Data V\1.DigifloPackaging2\IOR_R_15_2_370</v>
      </c>
      <c r="G9" s="23" t="str">
        <f>VLOOKUP(Table_owssvr[[#This Row],[pSIPLocation]],LookupTableQatarNameValues,2)&amp;""&amp;B9&amp;"_SIPFolder"</f>
        <v>\\p8l-nas3\Qatar-pSIP-02\pSIP\IOR_R_15_2_370_SIPFolder</v>
      </c>
      <c r="H9" s="23" t="str">
        <f>VLOOKUP(Table_owssvr[[#This Row],[JP2 location]],LookupTableQatarNameValues,2)</f>
        <v>\\p12l-NAS5\Qatar-Data V\1.DigifloPackaging2\</v>
      </c>
    </row>
    <row r="10" spans="1:8" x14ac:dyDescent="0.25">
      <c r="A10" s="28" t="s">
        <v>55</v>
      </c>
      <c r="B10" s="28" t="s">
        <v>80</v>
      </c>
      <c r="C10" s="29" t="s">
        <v>39</v>
      </c>
      <c r="D10" s="29" t="s">
        <v>26</v>
      </c>
      <c r="E10" s="23" t="str">
        <f>VLOOKUP("Qatar-Prod-qSIP",LookupTableQatarNameValues,2)&amp;Table_owssvr[[#This Row],[Corrected Shelf Mark]]</f>
        <v>\\p8l-nas3\Qatar-Prod-qSIP\qSIPs\Prod\Path\IOR_R_15_2_640</v>
      </c>
      <c r="F10" s="24" t="str">
        <f>Table_owssvr[[#This Row],[Path2]]&amp;Table_owssvr[[#This Row],[Corrected Shelf Mark]]</f>
        <v>\\p8l-nas3\Qatar-Data III\1.DigifloPackaging2\IOR_R_15_2_640</v>
      </c>
      <c r="G10" s="23" t="str">
        <f>VLOOKUP(Table_owssvr[[#This Row],[pSIPLocation]],LookupTableQatarNameValues,2)&amp;""&amp;B10&amp;"_SIPFolder"</f>
        <v>\\p8l-nas3\Qatar-pSIP-02\pSIP\IOR_R_15_2_640_SIPFolder</v>
      </c>
      <c r="H10" s="23" t="str">
        <f>VLOOKUP(Table_owssvr[[#This Row],[JP2 location]],LookupTableQatarNameValues,2)</f>
        <v>\\p8l-nas3\Qatar-Data III\1.DigifloPackaging2\</v>
      </c>
    </row>
    <row r="11" spans="1:8" x14ac:dyDescent="0.25">
      <c r="A11" s="28" t="s">
        <v>56</v>
      </c>
      <c r="B11" s="28" t="s">
        <v>81</v>
      </c>
      <c r="C11" s="29" t="s">
        <v>39</v>
      </c>
      <c r="D11" s="29" t="s">
        <v>26</v>
      </c>
      <c r="E11" s="23" t="str">
        <f>VLOOKUP("Qatar-Prod-qSIP",LookupTableQatarNameValues,2)&amp;Table_owssvr[[#This Row],[Corrected Shelf Mark]]</f>
        <v>\\p8l-nas3\Qatar-Prod-qSIP\qSIPs\Prod\Path\IOR_R_15_2_542</v>
      </c>
      <c r="F11" s="24" t="str">
        <f>Table_owssvr[[#This Row],[Path2]]&amp;Table_owssvr[[#This Row],[Corrected Shelf Mark]]</f>
        <v>\\p8l-nas3\Qatar-Data III\1.DigifloPackaging2\IOR_R_15_2_542</v>
      </c>
      <c r="G11" s="23" t="str">
        <f>VLOOKUP(Table_owssvr[[#This Row],[pSIPLocation]],LookupTableQatarNameValues,2)&amp;""&amp;B11&amp;"_SIPFolder"</f>
        <v>\\p8l-nas3\Qatar-pSIP-02\pSIP\IOR_R_15_2_542_SIPFolder</v>
      </c>
      <c r="H11" s="23" t="str">
        <f>VLOOKUP(Table_owssvr[[#This Row],[JP2 location]],LookupTableQatarNameValues,2)</f>
        <v>\\p8l-nas3\Qatar-Data III\1.DigifloPackaging2\</v>
      </c>
    </row>
    <row r="12" spans="1:8" x14ac:dyDescent="0.25">
      <c r="A12" s="28" t="s">
        <v>57</v>
      </c>
      <c r="B12" s="28" t="s">
        <v>82</v>
      </c>
      <c r="C12" s="29" t="s">
        <v>39</v>
      </c>
      <c r="D12" s="29" t="s">
        <v>26</v>
      </c>
      <c r="E12" s="23" t="str">
        <f>VLOOKUP("Qatar-Prod-qSIP",LookupTableQatarNameValues,2)&amp;Table_owssvr[[#This Row],[Corrected Shelf Mark]]</f>
        <v>\\p8l-nas3\Qatar-Prod-qSIP\qSIPs\Prod\Path\IOR_R_15_2_863</v>
      </c>
      <c r="F12" s="24" t="str">
        <f>Table_owssvr[[#This Row],[Path2]]&amp;Table_owssvr[[#This Row],[Corrected Shelf Mark]]</f>
        <v>\\p8l-nas3\Qatar-Data III\1.DigifloPackaging2\IOR_R_15_2_863</v>
      </c>
      <c r="G12" s="23" t="str">
        <f>VLOOKUP(Table_owssvr[[#This Row],[pSIPLocation]],LookupTableQatarNameValues,2)&amp;""&amp;B12&amp;"_SIPFolder"</f>
        <v>\\p8l-nas3\Qatar-pSIP-02\pSIP\IOR_R_15_2_863_SIPFolder</v>
      </c>
      <c r="H12" s="23" t="str">
        <f>VLOOKUP(Table_owssvr[[#This Row],[JP2 location]],LookupTableQatarNameValues,2)</f>
        <v>\\p8l-nas3\Qatar-Data III\1.DigifloPackaging2\</v>
      </c>
    </row>
    <row r="13" spans="1:8" x14ac:dyDescent="0.25">
      <c r="A13" s="28" t="s">
        <v>58</v>
      </c>
      <c r="B13" s="28" t="s">
        <v>83</v>
      </c>
      <c r="C13" s="29" t="s">
        <v>39</v>
      </c>
      <c r="D13" s="29" t="s">
        <v>26</v>
      </c>
      <c r="E13" s="23" t="str">
        <f>VLOOKUP("Qatar-Prod-qSIP",LookupTableQatarNameValues,2)&amp;Table_owssvr[[#This Row],[Corrected Shelf Mark]]</f>
        <v>\\p8l-nas3\Qatar-Prod-qSIP\qSIPs\Prod\Path\IOR_R_15_2_367</v>
      </c>
      <c r="F13" s="24" t="str">
        <f>Table_owssvr[[#This Row],[Path2]]&amp;Table_owssvr[[#This Row],[Corrected Shelf Mark]]</f>
        <v>\\p8l-nas3\Qatar-Data III\1.DigifloPackaging2\IOR_R_15_2_367</v>
      </c>
      <c r="G13" s="23" t="str">
        <f>VLOOKUP(Table_owssvr[[#This Row],[pSIPLocation]],LookupTableQatarNameValues,2)&amp;""&amp;B13&amp;"_SIPFolder"</f>
        <v>\\p8l-nas3\Qatar-pSIP-02\pSIP\IOR_R_15_2_367_SIPFolder</v>
      </c>
      <c r="H13" s="23" t="str">
        <f>VLOOKUP(Table_owssvr[[#This Row],[JP2 location]],LookupTableQatarNameValues,2)</f>
        <v>\\p8l-nas3\Qatar-Data III\1.DigifloPackaging2\</v>
      </c>
    </row>
    <row r="14" spans="1:8" x14ac:dyDescent="0.25">
      <c r="A14" s="28" t="s">
        <v>59</v>
      </c>
      <c r="B14" s="28" t="s">
        <v>84</v>
      </c>
      <c r="C14" s="29" t="s">
        <v>39</v>
      </c>
      <c r="D14" s="29" t="s">
        <v>44</v>
      </c>
      <c r="E14" s="23" t="str">
        <f>VLOOKUP("Qatar-Prod-qSIP",LookupTableQatarNameValues,2)&amp;Table_owssvr[[#This Row],[Corrected Shelf Mark]]</f>
        <v>\\p8l-nas3\Qatar-Prod-qSIP\qSIPs\Prod\Path\IOR_R_15_2_474</v>
      </c>
      <c r="F14" s="24" t="str">
        <f>Table_owssvr[[#This Row],[Path2]]&amp;Table_owssvr[[#This Row],[Corrected Shelf Mark]]</f>
        <v>\\p8l-nas3\Qatar-Data III\1.DigifloPackaging2\IOR_R_15_2_474</v>
      </c>
      <c r="G14" s="23" t="str">
        <f>VLOOKUP(Table_owssvr[[#This Row],[pSIPLocation]],LookupTableQatarNameValues,2)&amp;""&amp;B14&amp;"_SIPFolder"</f>
        <v>\\p12l-nas5\Qatar-pSIP-03\pSIP\IOR_R_15_2_474_SIPFolder</v>
      </c>
      <c r="H14" s="23" t="str">
        <f>VLOOKUP(Table_owssvr[[#This Row],[JP2 location]],LookupTableQatarNameValues,2)</f>
        <v>\\p8l-nas3\Qatar-Data III\1.DigifloPackaging2\</v>
      </c>
    </row>
    <row r="15" spans="1:8" x14ac:dyDescent="0.25">
      <c r="A15" s="28" t="s">
        <v>60</v>
      </c>
      <c r="B15" s="28" t="s">
        <v>85</v>
      </c>
      <c r="C15" s="29" t="s">
        <v>45</v>
      </c>
      <c r="D15" s="29" t="s">
        <v>26</v>
      </c>
      <c r="E15" s="23" t="str">
        <f>VLOOKUP("Qatar-Prod-qSIP",LookupTableQatarNameValues,2)&amp;Table_owssvr[[#This Row],[Corrected Shelf Mark]]</f>
        <v>\\p8l-nas3\Qatar-Prod-qSIP\qSIPs\Prod\Path\IOR_R_15_1_702</v>
      </c>
      <c r="F15" s="24" t="str">
        <f>Table_owssvr[[#This Row],[Path2]]&amp;Table_owssvr[[#This Row],[Corrected Shelf Mark]]</f>
        <v>\\p12l-NAS5\Qatar-Data V\1.DigifloPackaging2\IOR_R_15_1_702</v>
      </c>
      <c r="G15" s="23" t="str">
        <f>VLOOKUP(Table_owssvr[[#This Row],[pSIPLocation]],LookupTableQatarNameValues,2)&amp;""&amp;B15&amp;"_SIPFolder"</f>
        <v>\\p8l-nas3\Qatar-pSIP-02\pSIP\IOR_R_15_1_702_SIPFolder</v>
      </c>
      <c r="H15" s="23" t="str">
        <f>VLOOKUP(Table_owssvr[[#This Row],[JP2 location]],LookupTableQatarNameValues,2)</f>
        <v>\\p12l-NAS5\Qatar-Data V\1.DigifloPackaging2\</v>
      </c>
    </row>
    <row r="16" spans="1:8" x14ac:dyDescent="0.25">
      <c r="A16" s="28" t="s">
        <v>61</v>
      </c>
      <c r="B16" s="28" t="s">
        <v>86</v>
      </c>
      <c r="C16" s="29" t="s">
        <v>39</v>
      </c>
      <c r="D16" s="29" t="s">
        <v>26</v>
      </c>
      <c r="E16" s="23" t="str">
        <f>VLOOKUP("Qatar-Prod-qSIP",LookupTableQatarNameValues,2)&amp;Table_owssvr[[#This Row],[Corrected Shelf Mark]]</f>
        <v>\\p8l-nas3\Qatar-Prod-qSIP\qSIPs\Prod\Path\IOR_R_15_2_530</v>
      </c>
      <c r="F16" s="24" t="str">
        <f>Table_owssvr[[#This Row],[Path2]]&amp;Table_owssvr[[#This Row],[Corrected Shelf Mark]]</f>
        <v>\\p8l-nas3\Qatar-Data III\1.DigifloPackaging2\IOR_R_15_2_530</v>
      </c>
      <c r="G16" s="23" t="str">
        <f>VLOOKUP(Table_owssvr[[#This Row],[pSIPLocation]],LookupTableQatarNameValues,2)&amp;""&amp;B16&amp;"_SIPFolder"</f>
        <v>\\p8l-nas3\Qatar-pSIP-02\pSIP\IOR_R_15_2_530_SIPFolder</v>
      </c>
      <c r="H16" s="23" t="str">
        <f>VLOOKUP(Table_owssvr[[#This Row],[JP2 location]],LookupTableQatarNameValues,2)</f>
        <v>\\p8l-nas3\Qatar-Data III\1.DigifloPackaging2\</v>
      </c>
    </row>
    <row r="17" spans="1:8" x14ac:dyDescent="0.25">
      <c r="A17" s="28" t="s">
        <v>62</v>
      </c>
      <c r="B17" s="28" t="s">
        <v>87</v>
      </c>
      <c r="C17" s="29" t="s">
        <v>39</v>
      </c>
      <c r="D17" s="29" t="s">
        <v>26</v>
      </c>
      <c r="E17" s="23" t="str">
        <f>VLOOKUP("Qatar-Prod-qSIP",LookupTableQatarNameValues,2)&amp;Table_owssvr[[#This Row],[Corrected Shelf Mark]]</f>
        <v>\\p8l-nas3\Qatar-Prod-qSIP\qSIPs\Prod\Path\IOR_R_15_2_526</v>
      </c>
      <c r="F17" s="24" t="str">
        <f>Table_owssvr[[#This Row],[Path2]]&amp;Table_owssvr[[#This Row],[Corrected Shelf Mark]]</f>
        <v>\\p8l-nas3\Qatar-Data III\1.DigifloPackaging2\IOR_R_15_2_526</v>
      </c>
      <c r="G17" s="23" t="str">
        <f>VLOOKUP(Table_owssvr[[#This Row],[pSIPLocation]],LookupTableQatarNameValues,2)&amp;""&amp;B17&amp;"_SIPFolder"</f>
        <v>\\p8l-nas3\Qatar-pSIP-02\pSIP\IOR_R_15_2_526_SIPFolder</v>
      </c>
      <c r="H17" s="23" t="str">
        <f>VLOOKUP(Table_owssvr[[#This Row],[JP2 location]],LookupTableQatarNameValues,2)</f>
        <v>\\p8l-nas3\Qatar-Data III\1.DigifloPackaging2\</v>
      </c>
    </row>
    <row r="18" spans="1:8" x14ac:dyDescent="0.25">
      <c r="A18" s="28" t="s">
        <v>63</v>
      </c>
      <c r="B18" s="28" t="s">
        <v>88</v>
      </c>
      <c r="C18" s="29" t="s">
        <v>39</v>
      </c>
      <c r="D18" s="29" t="s">
        <v>26</v>
      </c>
      <c r="E18" s="23" t="str">
        <f>VLOOKUP("Qatar-Prod-qSIP",LookupTableQatarNameValues,2)&amp;Table_owssvr[[#This Row],[Corrected Shelf Mark]]</f>
        <v>\\p8l-nas3\Qatar-Prod-qSIP\qSIPs\Prod\Path\IOR_R_15_2_639</v>
      </c>
      <c r="F18" s="24" t="str">
        <f>Table_owssvr[[#This Row],[Path2]]&amp;Table_owssvr[[#This Row],[Corrected Shelf Mark]]</f>
        <v>\\p8l-nas3\Qatar-Data III\1.DigifloPackaging2\IOR_R_15_2_639</v>
      </c>
      <c r="G18" s="23" t="str">
        <f>VLOOKUP(Table_owssvr[[#This Row],[pSIPLocation]],LookupTableQatarNameValues,2)&amp;""&amp;B18&amp;"_SIPFolder"</f>
        <v>\\p8l-nas3\Qatar-pSIP-02\pSIP\IOR_R_15_2_639_SIPFolder</v>
      </c>
      <c r="H18" s="23" t="str">
        <f>VLOOKUP(Table_owssvr[[#This Row],[JP2 location]],LookupTableQatarNameValues,2)</f>
        <v>\\p8l-nas3\Qatar-Data III\1.DigifloPackaging2\</v>
      </c>
    </row>
    <row r="19" spans="1:8" x14ac:dyDescent="0.25">
      <c r="A19" s="28" t="s">
        <v>64</v>
      </c>
      <c r="B19" s="28" t="s">
        <v>89</v>
      </c>
      <c r="C19" s="29" t="s">
        <v>45</v>
      </c>
      <c r="D19" s="29" t="s">
        <v>26</v>
      </c>
      <c r="E19" s="23" t="str">
        <f>VLOOKUP("Qatar-Prod-qSIP",LookupTableQatarNameValues,2)&amp;Table_owssvr[[#This Row],[Corrected Shelf Mark]]</f>
        <v>\\p8l-nas3\Qatar-Prod-qSIP\qSIPs\Prod\Path\IOR_R_15_2_847</v>
      </c>
      <c r="F19" s="24" t="str">
        <f>Table_owssvr[[#This Row],[Path2]]&amp;Table_owssvr[[#This Row],[Corrected Shelf Mark]]</f>
        <v>\\p12l-NAS5\Qatar-Data V\1.DigifloPackaging2\IOR_R_15_2_847</v>
      </c>
      <c r="G19" s="23" t="str">
        <f>VLOOKUP(Table_owssvr[[#This Row],[pSIPLocation]],LookupTableQatarNameValues,2)&amp;""&amp;B19&amp;"_SIPFolder"</f>
        <v>\\p8l-nas3\Qatar-pSIP-02\pSIP\IOR_R_15_2_847_SIPFolder</v>
      </c>
      <c r="H19" s="23" t="str">
        <f>VLOOKUP(Table_owssvr[[#This Row],[JP2 location]],LookupTableQatarNameValues,2)</f>
        <v>\\p12l-NAS5\Qatar-Data V\1.DigifloPackaging2\</v>
      </c>
    </row>
    <row r="20" spans="1:8" x14ac:dyDescent="0.25">
      <c r="A20" s="28" t="s">
        <v>65</v>
      </c>
      <c r="B20" s="28" t="s">
        <v>90</v>
      </c>
      <c r="C20" s="29" t="s">
        <v>39</v>
      </c>
      <c r="D20" s="29" t="s">
        <v>26</v>
      </c>
      <c r="E20" s="23" t="str">
        <f>VLOOKUP("Qatar-Prod-qSIP",LookupTableQatarNameValues,2)&amp;Table_owssvr[[#This Row],[Corrected Shelf Mark]]</f>
        <v>\\p8l-nas3\Qatar-Prod-qSIP\qSIPs\Prod\Path\IOR_R_15_2_464</v>
      </c>
      <c r="F20" s="24" t="str">
        <f>Table_owssvr[[#This Row],[Path2]]&amp;Table_owssvr[[#This Row],[Corrected Shelf Mark]]</f>
        <v>\\p8l-nas3\Qatar-Data III\1.DigifloPackaging2\IOR_R_15_2_464</v>
      </c>
      <c r="G20" s="23" t="str">
        <f>VLOOKUP(Table_owssvr[[#This Row],[pSIPLocation]],LookupTableQatarNameValues,2)&amp;""&amp;B20&amp;"_SIPFolder"</f>
        <v>\\p8l-nas3\Qatar-pSIP-02\pSIP\IOR_R_15_2_464_SIPFolder</v>
      </c>
      <c r="H20" s="23" t="str">
        <f>VLOOKUP(Table_owssvr[[#This Row],[JP2 location]],LookupTableQatarNameValues,2)</f>
        <v>\\p8l-nas3\Qatar-Data III\1.DigifloPackaging2\</v>
      </c>
    </row>
    <row r="21" spans="1:8" x14ac:dyDescent="0.25">
      <c r="A21" s="28" t="s">
        <v>66</v>
      </c>
      <c r="B21" s="28" t="s">
        <v>91</v>
      </c>
      <c r="C21" s="29" t="s">
        <v>45</v>
      </c>
      <c r="D21" s="29" t="s">
        <v>26</v>
      </c>
      <c r="E21" s="23" t="str">
        <f>VLOOKUP("Qatar-Prod-qSIP",LookupTableQatarNameValues,2)&amp;Table_owssvr[[#This Row],[Corrected Shelf Mark]]</f>
        <v>\\p8l-nas3\Qatar-Prod-qSIP\qSIPs\Prod\Path\IOR_R_15_2_833</v>
      </c>
      <c r="F21" s="24" t="str">
        <f>Table_owssvr[[#This Row],[Path2]]&amp;Table_owssvr[[#This Row],[Corrected Shelf Mark]]</f>
        <v>\\p12l-NAS5\Qatar-Data V\1.DigifloPackaging2\IOR_R_15_2_833</v>
      </c>
      <c r="G21" s="23" t="str">
        <f>VLOOKUP(Table_owssvr[[#This Row],[pSIPLocation]],LookupTableQatarNameValues,2)&amp;""&amp;B21&amp;"_SIPFolder"</f>
        <v>\\p8l-nas3\Qatar-pSIP-02\pSIP\IOR_R_15_2_833_SIPFolder</v>
      </c>
      <c r="H21" s="23" t="str">
        <f>VLOOKUP(Table_owssvr[[#This Row],[JP2 location]],LookupTableQatarNameValues,2)</f>
        <v>\\p12l-NAS5\Qatar-Data V\1.DigifloPackaging2\</v>
      </c>
    </row>
    <row r="22" spans="1:8" x14ac:dyDescent="0.25">
      <c r="A22" s="28" t="s">
        <v>67</v>
      </c>
      <c r="B22" s="28" t="s">
        <v>92</v>
      </c>
      <c r="C22" s="29" t="s">
        <v>39</v>
      </c>
      <c r="D22" s="29" t="s">
        <v>26</v>
      </c>
      <c r="E22" s="23" t="str">
        <f>VLOOKUP("Qatar-Prod-qSIP",LookupTableQatarNameValues,2)&amp;Table_owssvr[[#This Row],[Corrected Shelf Mark]]</f>
        <v>\\p8l-nas3\Qatar-Prod-qSIP\qSIPs\Prod\Path\IOR_R_15_2_488</v>
      </c>
      <c r="F22" s="24" t="str">
        <f>Table_owssvr[[#This Row],[Path2]]&amp;Table_owssvr[[#This Row],[Corrected Shelf Mark]]</f>
        <v>\\p8l-nas3\Qatar-Data III\1.DigifloPackaging2\IOR_R_15_2_488</v>
      </c>
      <c r="G22" s="23" t="str">
        <f>VLOOKUP(Table_owssvr[[#This Row],[pSIPLocation]],LookupTableQatarNameValues,2)&amp;""&amp;B22&amp;"_SIPFolder"</f>
        <v>\\p8l-nas3\Qatar-pSIP-02\pSIP\IOR_R_15_2_488_SIPFolder</v>
      </c>
      <c r="H22" s="23" t="str">
        <f>VLOOKUP(Table_owssvr[[#This Row],[JP2 location]],LookupTableQatarNameValues,2)</f>
        <v>\\p8l-nas3\Qatar-Data III\1.DigifloPackaging2\</v>
      </c>
    </row>
    <row r="23" spans="1:8" x14ac:dyDescent="0.25">
      <c r="A23" s="28" t="s">
        <v>68</v>
      </c>
      <c r="B23" s="28" t="s">
        <v>93</v>
      </c>
      <c r="C23" s="29" t="s">
        <v>39</v>
      </c>
      <c r="D23" s="29" t="s">
        <v>26</v>
      </c>
      <c r="E23" s="23" t="str">
        <f>VLOOKUP("Qatar-Prod-qSIP",LookupTableQatarNameValues,2)&amp;Table_owssvr[[#This Row],[Corrected Shelf Mark]]</f>
        <v>\\p8l-nas3\Qatar-Prod-qSIP\qSIPs\Prod\Path\IOR_R_15_2_463</v>
      </c>
      <c r="F23" s="24" t="str">
        <f>Table_owssvr[[#This Row],[Path2]]&amp;Table_owssvr[[#This Row],[Corrected Shelf Mark]]</f>
        <v>\\p8l-nas3\Qatar-Data III\1.DigifloPackaging2\IOR_R_15_2_463</v>
      </c>
      <c r="G23" s="23" t="str">
        <f>VLOOKUP(Table_owssvr[[#This Row],[pSIPLocation]],LookupTableQatarNameValues,2)&amp;""&amp;B23&amp;"_SIPFolder"</f>
        <v>\\p8l-nas3\Qatar-pSIP-02\pSIP\IOR_R_15_2_463_SIPFolder</v>
      </c>
      <c r="H23" s="23" t="str">
        <f>VLOOKUP(Table_owssvr[[#This Row],[JP2 location]],LookupTableQatarNameValues,2)</f>
        <v>\\p8l-nas3\Qatar-Data III\1.DigifloPackaging2\</v>
      </c>
    </row>
    <row r="24" spans="1:8" x14ac:dyDescent="0.25">
      <c r="A24" s="28" t="s">
        <v>69</v>
      </c>
      <c r="B24" s="28" t="s">
        <v>94</v>
      </c>
      <c r="C24" s="29" t="s">
        <v>45</v>
      </c>
      <c r="D24" s="29" t="s">
        <v>26</v>
      </c>
      <c r="E24" s="23" t="str">
        <f>VLOOKUP("Qatar-Prod-qSIP",LookupTableQatarNameValues,2)&amp;Table_owssvr[[#This Row],[Corrected Shelf Mark]]</f>
        <v>\\p8l-nas3\Qatar-Prod-qSIP\qSIPs\Prod\Path\IOR_R_15_2_540</v>
      </c>
      <c r="F24" s="24" t="str">
        <f>Table_owssvr[[#This Row],[Path2]]&amp;Table_owssvr[[#This Row],[Corrected Shelf Mark]]</f>
        <v>\\p12l-NAS5\Qatar-Data V\1.DigifloPackaging2\IOR_R_15_2_540</v>
      </c>
      <c r="G24" s="23" t="str">
        <f>VLOOKUP(Table_owssvr[[#This Row],[pSIPLocation]],LookupTableQatarNameValues,2)&amp;""&amp;B24&amp;"_SIPFolder"</f>
        <v>\\p8l-nas3\Qatar-pSIP-02\pSIP\IOR_R_15_2_540_SIPFolder</v>
      </c>
      <c r="H24" s="23" t="str">
        <f>VLOOKUP(Table_owssvr[[#This Row],[JP2 location]],LookupTableQatarNameValues,2)</f>
        <v>\\p12l-NAS5\Qatar-Data V\1.DigifloPackaging2\</v>
      </c>
    </row>
    <row r="25" spans="1:8" x14ac:dyDescent="0.25">
      <c r="A25" s="28" t="s">
        <v>70</v>
      </c>
      <c r="B25" s="28" t="s">
        <v>95</v>
      </c>
      <c r="C25" s="29" t="s">
        <v>45</v>
      </c>
      <c r="D25" s="29" t="s">
        <v>26</v>
      </c>
      <c r="E25" s="23" t="str">
        <f>VLOOKUP("Qatar-Prod-qSIP",LookupTableQatarNameValues,2)&amp;Table_owssvr[[#This Row],[Corrected Shelf Mark]]</f>
        <v>\\p8l-nas3\Qatar-Prod-qSIP\qSIPs\Prod\Path\IOR_R_15_2_849</v>
      </c>
      <c r="F25" s="24" t="str">
        <f>Table_owssvr[[#This Row],[Path2]]&amp;Table_owssvr[[#This Row],[Corrected Shelf Mark]]</f>
        <v>\\p12l-NAS5\Qatar-Data V\1.DigifloPackaging2\IOR_R_15_2_849</v>
      </c>
      <c r="G25" s="23" t="str">
        <f>VLOOKUP(Table_owssvr[[#This Row],[pSIPLocation]],LookupTableQatarNameValues,2)&amp;""&amp;B25&amp;"_SIPFolder"</f>
        <v>\\p8l-nas3\Qatar-pSIP-02\pSIP\IOR_R_15_2_849_SIPFolder</v>
      </c>
      <c r="H25" s="23" t="str">
        <f>VLOOKUP(Table_owssvr[[#This Row],[JP2 location]],LookupTableQatarNameValues,2)</f>
        <v>\\p12l-NAS5\Qatar-Data V\1.DigifloPackaging2\</v>
      </c>
    </row>
    <row r="26" spans="1:8" x14ac:dyDescent="0.25">
      <c r="A26" s="28" t="s">
        <v>71</v>
      </c>
      <c r="B26" s="28" t="s">
        <v>96</v>
      </c>
      <c r="C26" s="29" t="s">
        <v>39</v>
      </c>
      <c r="D26" s="29" t="s">
        <v>44</v>
      </c>
      <c r="E26" s="23" t="str">
        <f>VLOOKUP("Qatar-Prod-qSIP",LookupTableQatarNameValues,2)&amp;Table_owssvr[[#This Row],[Corrected Shelf Mark]]</f>
        <v>\\p8l-nas3\Qatar-Prod-qSIP\qSIPs\Prod\Path\IOR_R_15_2_366</v>
      </c>
      <c r="F26" s="24" t="str">
        <f>Table_owssvr[[#This Row],[Path2]]&amp;Table_owssvr[[#This Row],[Corrected Shelf Mark]]</f>
        <v>\\p8l-nas3\Qatar-Data III\1.DigifloPackaging2\IOR_R_15_2_366</v>
      </c>
      <c r="G26" s="23" t="str">
        <f>VLOOKUP(Table_owssvr[[#This Row],[pSIPLocation]],LookupTableQatarNameValues,2)&amp;""&amp;B26&amp;"_SIPFolder"</f>
        <v>\\p12l-nas5\Qatar-pSIP-03\pSIP\IOR_R_15_2_366_SIPFolder</v>
      </c>
      <c r="H26" s="23" t="str">
        <f>VLOOKUP(Table_owssvr[[#This Row],[JP2 location]],LookupTableQatarNameValues,2)</f>
        <v>\\p8l-nas3\Qatar-Data III\1.DigifloPackaging2\</v>
      </c>
    </row>
    <row r="27" spans="1:8" x14ac:dyDescent="0.25">
      <c r="A27" s="30" t="s">
        <v>72</v>
      </c>
      <c r="B27" s="30" t="s">
        <v>97</v>
      </c>
      <c r="C27" s="31" t="s">
        <v>45</v>
      </c>
      <c r="D27" s="31" t="s">
        <v>26</v>
      </c>
      <c r="E27" s="23" t="str">
        <f>VLOOKUP("Qatar-Prod-qSIP",LookupTableQatarNameValues,2)&amp;Table_owssvr[[#This Row],[Corrected Shelf Mark]]</f>
        <v>\\p8l-nas3\Qatar-Prod-qSIP\qSIPs\Prod\Path\IOR_R_15_2_572</v>
      </c>
      <c r="F27" s="25" t="str">
        <f>Table_owssvr[[#This Row],[Path2]]&amp;Table_owssvr[[#This Row],[Corrected Shelf Mark]]</f>
        <v>\\p12l-NAS5\Qatar-Data V\1.DigifloPackaging2\IOR_R_15_2_572</v>
      </c>
      <c r="G27" s="23" t="str">
        <f>VLOOKUP(Table_owssvr[[#This Row],[pSIPLocation]],LookupTableQatarNameValues,2)&amp;""&amp;B27&amp;"_SIPFolder"</f>
        <v>\\p8l-nas3\Qatar-pSIP-02\pSIP\IOR_R_15_2_572_SIPFolder</v>
      </c>
      <c r="H27" s="23" t="str">
        <f>VLOOKUP(Table_owssvr[[#This Row],[JP2 location]],LookupTableQatarNameValues,2)</f>
        <v>\\p12l-NAS5\Qatar-Data V\1.DigifloPackaging2\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4"/>
  <sheetViews>
    <sheetView workbookViewId="0">
      <selection activeCell="B11" sqref="B11"/>
    </sheetView>
  </sheetViews>
  <sheetFormatPr defaultRowHeight="15" x14ac:dyDescent="0.25"/>
  <cols>
    <col min="1" max="1" width="15.42578125" bestFit="1" customWidth="1"/>
    <col min="2" max="2" width="76.42578125" bestFit="1" customWidth="1"/>
    <col min="3" max="3" width="15.42578125" bestFit="1" customWidth="1"/>
    <col min="4" max="4" width="46.7109375" customWidth="1"/>
  </cols>
  <sheetData>
    <row r="1" spans="1:2" ht="15.75" x14ac:dyDescent="0.25">
      <c r="A1" s="1" t="s">
        <v>40</v>
      </c>
      <c r="B1" s="1" t="s">
        <v>41</v>
      </c>
    </row>
    <row r="2" spans="1:2" x14ac:dyDescent="0.25">
      <c r="A2" t="s">
        <v>43</v>
      </c>
      <c r="B2" s="2" t="s">
        <v>20</v>
      </c>
    </row>
    <row r="3" spans="1:2" x14ac:dyDescent="0.25">
      <c r="A3" t="s">
        <v>3</v>
      </c>
      <c r="B3" t="s">
        <v>21</v>
      </c>
    </row>
    <row r="4" spans="1:2" x14ac:dyDescent="0.25">
      <c r="A4" t="s">
        <v>4</v>
      </c>
      <c r="B4" s="2" t="s">
        <v>22</v>
      </c>
    </row>
    <row r="5" spans="1:2" x14ac:dyDescent="0.25">
      <c r="A5" t="s">
        <v>5</v>
      </c>
      <c r="B5" t="s">
        <v>23</v>
      </c>
    </row>
    <row r="6" spans="1:2" x14ac:dyDescent="0.25">
      <c r="A6" t="s">
        <v>39</v>
      </c>
      <c r="B6" s="2" t="s">
        <v>38</v>
      </c>
    </row>
    <row r="7" spans="1:2" s="13" customFormat="1" x14ac:dyDescent="0.25">
      <c r="A7" s="13" t="s">
        <v>45</v>
      </c>
      <c r="B7" s="2" t="s">
        <v>46</v>
      </c>
    </row>
    <row r="8" spans="1:2" x14ac:dyDescent="0.25">
      <c r="A8" t="s">
        <v>28</v>
      </c>
      <c r="B8" t="s">
        <v>29</v>
      </c>
    </row>
    <row r="9" spans="1:2" x14ac:dyDescent="0.25">
      <c r="A9" t="s">
        <v>24</v>
      </c>
      <c r="B9" s="2" t="s">
        <v>25</v>
      </c>
    </row>
    <row r="10" spans="1:2" x14ac:dyDescent="0.25">
      <c r="A10" s="13" t="s">
        <v>26</v>
      </c>
      <c r="B10" s="2" t="s">
        <v>27</v>
      </c>
    </row>
    <row r="11" spans="1:2" s="13" customFormat="1" x14ac:dyDescent="0.25">
      <c r="A11" s="13" t="s">
        <v>44</v>
      </c>
      <c r="B11" s="2" t="s">
        <v>47</v>
      </c>
    </row>
    <row r="12" spans="1:2" x14ac:dyDescent="0.25">
      <c r="A12" s="13" t="s">
        <v>30</v>
      </c>
      <c r="B12" s="16" t="s">
        <v>31</v>
      </c>
    </row>
    <row r="24" spans="3:3" x14ac:dyDescent="0.25">
      <c r="C24" s="13"/>
    </row>
  </sheetData>
  <sortState ref="A2:B10">
    <sortCondition ref="A1"/>
  </sortState>
  <hyperlinks>
    <hyperlink ref="B2" r:id="rId1"/>
    <hyperlink ref="B4" r:id="rId2"/>
    <hyperlink ref="B6" r:id="rId3"/>
    <hyperlink ref="B9" r:id="rId4"/>
    <hyperlink ref="B11" r:id="rId5"/>
    <hyperlink ref="B7" r:id="rId6"/>
    <hyperlink ref="B10" r:id="rId7"/>
  </hyperlinks>
  <pageMargins left="0.7" right="0.7" top="0.75" bottom="0.75" header="0.3" footer="0.3"/>
  <drawing r:id="rId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Prep</vt:lpstr>
      <vt:lpstr>Lookup</vt:lpstr>
      <vt:lpstr>LookupTableQatarNameValues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Hamilton, Lynden</dc:creator>
  <cp:lastModifiedBy>Akhtar, Naadir</cp:lastModifiedBy>
  <dcterms:created xsi:type="dcterms:W3CDTF">2014-09-08T09:41:14Z</dcterms:created>
  <dcterms:modified xsi:type="dcterms:W3CDTF">2015-07-28T14:33:27Z</dcterms:modified>
</cp:coreProperties>
</file>